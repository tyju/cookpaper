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426" codeName="{0EBEE25D-5E30-3CCF-7B8A-937B5088EA05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cookpaper\cook_pad\"/>
    </mc:Choice>
  </mc:AlternateContent>
  <bookViews>
    <workbookView xWindow="0" yWindow="0" windowWidth="15345" windowHeight="4920"/>
  </bookViews>
  <sheets>
    <sheet name="差し込み用シート" sheetId="3" r:id="rId1"/>
    <sheet name="全体シート" sheetId="1" r:id="rId2"/>
    <sheet name="情報シート" sheetId="2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8" i="1" l="1"/>
  <c r="C19" i="1"/>
  <c r="C20" i="1"/>
  <c r="E10" i="1" l="1"/>
  <c r="E11" i="1"/>
  <c r="E12" i="1"/>
  <c r="E13" i="1"/>
  <c r="E14" i="1"/>
  <c r="E15" i="1"/>
  <c r="E16" i="1"/>
  <c r="E17" i="1"/>
  <c r="E18" i="1"/>
  <c r="E19" i="1"/>
  <c r="E20" i="1"/>
  <c r="C10" i="1"/>
  <c r="C11" i="1"/>
  <c r="C12" i="1"/>
  <c r="C13" i="1"/>
  <c r="C14" i="1"/>
  <c r="C15" i="1"/>
  <c r="C16" i="1"/>
  <c r="C17" i="1"/>
  <c r="L20" i="1" l="1"/>
  <c r="L12" i="1"/>
  <c r="L16" i="1"/>
  <c r="L19" i="1"/>
  <c r="L15" i="1"/>
  <c r="L11" i="1"/>
  <c r="L18" i="1"/>
  <c r="L14" i="1"/>
  <c r="L10" i="1"/>
  <c r="L17" i="1"/>
  <c r="L13" i="1"/>
  <c r="E2" i="1" l="1"/>
  <c r="E3" i="1"/>
  <c r="E4" i="1"/>
  <c r="E5" i="1"/>
  <c r="E6" i="1"/>
  <c r="E7" i="1"/>
  <c r="E8" i="1"/>
  <c r="E9" i="1"/>
  <c r="C2" i="1"/>
  <c r="C3" i="1"/>
  <c r="L3" i="1" s="1"/>
  <c r="C4" i="1"/>
  <c r="C5" i="1"/>
  <c r="C6" i="1"/>
  <c r="L6" i="1" s="1"/>
  <c r="C7" i="1"/>
  <c r="C8" i="1"/>
  <c r="C9" i="1"/>
  <c r="L4" i="1" l="1"/>
  <c r="L2" i="1"/>
  <c r="L9" i="1"/>
  <c r="L5" i="1"/>
  <c r="L8" i="1"/>
  <c r="L7" i="1"/>
</calcChain>
</file>

<file path=xl/sharedStrings.xml><?xml version="1.0" encoding="utf-8"?>
<sst xmlns="http://schemas.openxmlformats.org/spreadsheetml/2006/main" count="205" uniqueCount="142">
  <si>
    <t>料理名</t>
    <rPh sb="0" eb="3">
      <t>リョウリメイ</t>
    </rPh>
    <phoneticPr fontId="1"/>
  </si>
  <si>
    <t>量(人前)</t>
    <rPh sb="0" eb="1">
      <t>リョウ</t>
    </rPh>
    <rPh sb="2" eb="4">
      <t>ニンマエ</t>
    </rPh>
    <phoneticPr fontId="1"/>
  </si>
  <si>
    <t>材料</t>
    <rPh sb="0" eb="2">
      <t>ザイリョウ</t>
    </rPh>
    <phoneticPr fontId="1"/>
  </si>
  <si>
    <t>作り方</t>
    <rPh sb="0" eb="1">
      <t>ツク</t>
    </rPh>
    <rPh sb="2" eb="3">
      <t>カタ</t>
    </rPh>
    <phoneticPr fontId="1"/>
  </si>
  <si>
    <t>画像</t>
  </si>
  <si>
    <t>仕様器具</t>
    <rPh sb="0" eb="2">
      <t>シヨウ</t>
    </rPh>
    <rPh sb="2" eb="4">
      <t>キグ</t>
    </rPh>
    <phoneticPr fontId="1"/>
  </si>
  <si>
    <t>ジャンル</t>
    <phoneticPr fontId="1"/>
  </si>
  <si>
    <t>ジャンル</t>
    <phoneticPr fontId="1"/>
  </si>
  <si>
    <t>仕様器具</t>
    <rPh sb="0" eb="2">
      <t>シヨウ</t>
    </rPh>
    <rPh sb="2" eb="4">
      <t>キグ</t>
    </rPh>
    <phoneticPr fontId="1"/>
  </si>
  <si>
    <t>画像</t>
    <rPh sb="0" eb="2">
      <t>ガゾウ</t>
    </rPh>
    <phoneticPr fontId="1"/>
  </si>
  <si>
    <t>和風</t>
    <rPh sb="0" eb="2">
      <t>ワフウ</t>
    </rPh>
    <phoneticPr fontId="1"/>
  </si>
  <si>
    <t>洋風</t>
    <rPh sb="0" eb="2">
      <t>ヨウフウ</t>
    </rPh>
    <phoneticPr fontId="1"/>
  </si>
  <si>
    <t>デザート</t>
    <phoneticPr fontId="1"/>
  </si>
  <si>
    <t>japanese.png</t>
    <phoneticPr fontId="1"/>
  </si>
  <si>
    <t>western.png</t>
    <phoneticPr fontId="1"/>
  </si>
  <si>
    <t>dessert.png</t>
    <phoneticPr fontId="1"/>
  </si>
  <si>
    <t>フライパン</t>
  </si>
  <si>
    <t>フライパン</t>
    <phoneticPr fontId="1"/>
  </si>
  <si>
    <t>鍋</t>
    <rPh sb="0" eb="1">
      <t>ナベ</t>
    </rPh>
    <phoneticPr fontId="1"/>
  </si>
  <si>
    <t>トースター</t>
  </si>
  <si>
    <t>トースター</t>
    <phoneticPr fontId="1"/>
  </si>
  <si>
    <t>オーブン</t>
    <phoneticPr fontId="1"/>
  </si>
  <si>
    <t>包丁</t>
    <rPh sb="0" eb="2">
      <t>ホウチョウ</t>
    </rPh>
    <phoneticPr fontId="1"/>
  </si>
  <si>
    <t>knife.png</t>
    <phoneticPr fontId="1"/>
  </si>
  <si>
    <t>oven.png</t>
    <phoneticPr fontId="1"/>
  </si>
  <si>
    <t>pan.png</t>
    <phoneticPr fontId="1"/>
  </si>
  <si>
    <t>pot.png</t>
    <phoneticPr fontId="1"/>
  </si>
  <si>
    <t>toaster.png</t>
    <phoneticPr fontId="1"/>
  </si>
  <si>
    <t>揚げ出し豆腐</t>
    <rPh sb="0" eb="1">
      <t>ア</t>
    </rPh>
    <rPh sb="2" eb="3">
      <t>ダ</t>
    </rPh>
    <rPh sb="4" eb="6">
      <t>ドウフ</t>
    </rPh>
    <phoneticPr fontId="1"/>
  </si>
  <si>
    <t>2016-03-29 19.23.16.jpg</t>
    <phoneticPr fontId="1"/>
  </si>
  <si>
    <t>ピーマンの味噌漬け</t>
    <rPh sb="5" eb="7">
      <t>ミソ</t>
    </rPh>
    <rPh sb="7" eb="8">
      <t>ヅ</t>
    </rPh>
    <phoneticPr fontId="1"/>
  </si>
  <si>
    <t>包丁</t>
    <rPh sb="0" eb="2">
      <t>ホウチョウ</t>
    </rPh>
    <phoneticPr fontId="1"/>
  </si>
  <si>
    <t>ピーマン  2,3個
味噌      大さじ1
すりごま  適量</t>
    <phoneticPr fontId="1"/>
  </si>
  <si>
    <t>half</t>
    <phoneticPr fontId="1"/>
  </si>
  <si>
    <t>○</t>
    <phoneticPr fontId="1"/>
  </si>
  <si>
    <t>デザート</t>
  </si>
  <si>
    <t>9cd0338c620728aba1de35bdc4ac58ad.jpg</t>
  </si>
  <si>
    <t>豚肉のじゃがいも巻き</t>
    <rPh sb="0" eb="2">
      <t>ブタニク</t>
    </rPh>
    <rPh sb="8" eb="9">
      <t>マ</t>
    </rPh>
    <phoneticPr fontId="1"/>
  </si>
  <si>
    <t>1.  豆腐を4等分する
2.  豆腐に片栗粉をまぶす
3.  多めの油で豆腐を焦げ目がつくまで揚げ焼きにする。ただし、側面は焼かない
4.  麺つゆと水を火にかける
5.  豆腐に麺つゆをかけ、ねぎを散らす</t>
    <phoneticPr fontId="1"/>
  </si>
  <si>
    <t>1. じゃがいもをレンジで柔らかくする
2. じゃがいもを串切りにする
3. じゃがいもに豚肉をまき、片栗粉を振る
4. ★を合わせる
5. 油を薄く引き、中火で両面焼く
6. フライパンに蓋をして、1,2分蒸す
7. ★を入れ、トロッとしたらあげる</t>
    <phoneticPr fontId="1"/>
  </si>
  <si>
    <t>DSC_0102.JPG</t>
  </si>
  <si>
    <t>DSC_0056.JPG</t>
  </si>
  <si>
    <t>豚ニラ炒め</t>
    <rPh sb="0" eb="1">
      <t>ブタ</t>
    </rPh>
    <rPh sb="3" eb="4">
      <t>イタ</t>
    </rPh>
    <phoneticPr fontId="1"/>
  </si>
  <si>
    <t>豚バラ肉    200g
じゃがいも  1個
片栗粉      小さじ1
★醤油      大さじ1
★砂糖      小さじ1
★みりん    小さじ1</t>
    <phoneticPr fontId="1"/>
  </si>
  <si>
    <t>豚バラ肉            200g
にら                1束
もやし              1袋
★塩コショウ        少々
★酒                大さじ1
★ごま油            大さじ1
★オイスターソース  大さじ1
★醤油              大さじ1</t>
    <phoneticPr fontId="1"/>
  </si>
  <si>
    <t>豆腐    1丁
片栗粉  少々
麺つゆ  100cc
水      400cc
ネギ    適量</t>
    <phoneticPr fontId="1"/>
  </si>
  <si>
    <t>1. 豚肉-&gt;野菜を炒め塩コショウする
2. 材料に火が通ったら皿に盛りつけ、★を炒めてかける</t>
    <phoneticPr fontId="1"/>
  </si>
  <si>
    <t>○</t>
    <phoneticPr fontId="1"/>
  </si>
  <si>
    <t>天丼のたれ</t>
    <rPh sb="0" eb="2">
      <t>テンドン</t>
    </rPh>
    <phoneticPr fontId="1"/>
  </si>
  <si>
    <t>麺つゆ  大さじ1
酒      大さじ2
みりん  大さじ2
砂糖    小さじ2</t>
    <phoneticPr fontId="1"/>
  </si>
  <si>
    <t>a4ea26a387161a7baf117217855df804.jpg</t>
  </si>
  <si>
    <t>　</t>
    <phoneticPr fontId="1"/>
  </si>
  <si>
    <t>DSC_0059.JPG</t>
  </si>
  <si>
    <t>じゃがいも      3個
ミニトマト      5個
にんにく        1,2片
とろけるチーズ  適量
オリーブ油      大さじ1
塩コショウ      少々
パセリ          少々
顆粒コンソメ    少々</t>
    <phoneticPr fontId="1"/>
  </si>
  <si>
    <t>1. じゃがいもを千切りにし水にさらす
2. ミニトマトを1/4にカットする
3. じゃがいもの水分をふき取る
4. 刻んだニンニクと油を入れ炒める
5. 香りが出たらじゃがいもを投入し中火で3分炒める
6. ミニトマトを加え、潰し炒める
7. 塩コショウとコンソメを加える
8. 耐熱皿に盛り付け、チーズを乗せる
9. トースターで10分程加熱する
10. パセリを散らす</t>
    <phoneticPr fontId="1"/>
  </si>
  <si>
    <t>ガーリックポテト</t>
    <phoneticPr fontId="1"/>
  </si>
  <si>
    <t>DSC_0103.JPG</t>
  </si>
  <si>
    <t>プリン</t>
    <phoneticPr fontId="1"/>
  </si>
  <si>
    <t>オーブン</t>
  </si>
  <si>
    <t>卵            4個
牛乳          350cc
砂糖          35g
★砂糖        50g
★水          大さじ1
★仕上げの水  大さじ1.5</t>
    <phoneticPr fontId="1"/>
  </si>
  <si>
    <t>【カラメル】
1. ★を鍋に入れて中火で混ぜる
2. 解けたら色づくまで煮る
3. すぐに容器に入れる
【プリン】
1. オーブンを200℃で予熱する
2. 牛乳を鍋に入れ、沸騰しない程度に温める
3. 卵に砂糖を入れてよく混ぜる
4. 温めた牛乳を少しずつ加えて混ぜる
5. バットに入れるお湯を沸かす
6. カップをバットに並べる
7. 漉しながらカップに入れる
8. バットにお湯を入れる
9. 200℃で下段で10分焼く</t>
    <phoneticPr fontId="1"/>
  </si>
  <si>
    <t>列1</t>
  </si>
  <si>
    <t>列2</t>
  </si>
  <si>
    <t>1. ピーマンを縦に切り、ジッパーに入れる
2. 味噌を入れて揉み1日寝かす</t>
    <phoneticPr fontId="1"/>
  </si>
  <si>
    <t>秋ナスとベーコンのマヨ炒め</t>
    <phoneticPr fontId="1"/>
  </si>
  <si>
    <t>ナス        1本
ベーコン    2枚
塩コショウ  少々
マヨネーズ  大さじ1
醤油        適量</t>
    <phoneticPr fontId="1"/>
  </si>
  <si>
    <t>DSC_0111.JPG</t>
  </si>
  <si>
    <t>1. ナスをくし形に切り水に晒す
2. ベーコンを1cm幅に切る
3. フライパンの中央にマヨネーズを引いて火にかける
4. ナスを入れ、火が通ったらベーコンを入れ炒める
5. 塩コショウで味を調え、最後に醤油を垂らす</t>
  </si>
  <si>
    <t>○</t>
  </si>
  <si>
    <t>○</t>
    <phoneticPr fontId="1"/>
  </si>
  <si>
    <t>○</t>
    <phoneticPr fontId="1"/>
  </si>
  <si>
    <t>○</t>
    <phoneticPr fontId="1"/>
  </si>
  <si>
    <t>印刷済</t>
    <rPh sb="0" eb="2">
      <t>インサツ</t>
    </rPh>
    <rPh sb="2" eb="3">
      <t>ズ</t>
    </rPh>
    <phoneticPr fontId="1"/>
  </si>
  <si>
    <t>鍋</t>
    <rPh sb="0" eb="1">
      <t>ナベ</t>
    </rPh>
    <phoneticPr fontId="1"/>
  </si>
  <si>
    <t>サツマイモと揚げ玉の味噌汁</t>
    <rPh sb="6" eb="7">
      <t>ア</t>
    </rPh>
    <rPh sb="8" eb="9">
      <t>タマ</t>
    </rPh>
    <rPh sb="10" eb="13">
      <t>ミソシル</t>
    </rPh>
    <phoneticPr fontId="1"/>
  </si>
  <si>
    <t>サツマイモ  1/2本
揚げ玉      適量
水          250cc
味噌        大2
ほんだし    小1</t>
    <phoneticPr fontId="1"/>
  </si>
  <si>
    <t>1. サツマイモを食べ易い大きさに切り、水にさらす
2. 鍋に水気を切ったサツマイモと水を入れ、中火で煮る
3. サツマイモが軟らかくなったら火を消し味噌を溶きいれる
4. ほんだしを加え、縁が煮立つまで中火で煮る
5. 食事の際に揚げ玉をかける</t>
    <phoneticPr fontId="1"/>
  </si>
  <si>
    <t>掻き揚げ丼のたれ</t>
    <rPh sb="0" eb="1">
      <t>カ</t>
    </rPh>
    <rPh sb="2" eb="3">
      <t>ア</t>
    </rPh>
    <rPh sb="4" eb="5">
      <t>ドン</t>
    </rPh>
    <phoneticPr fontId="1"/>
  </si>
  <si>
    <t>和風</t>
    <rPh sb="0" eb="2">
      <t>ワフウ</t>
    </rPh>
    <phoneticPr fontId="1"/>
  </si>
  <si>
    <t>レンジ</t>
    <phoneticPr fontId="1"/>
  </si>
  <si>
    <t>レンジ</t>
    <phoneticPr fontId="1"/>
  </si>
  <si>
    <t>水        100cc
顆粒だし  小さじ1/2
みりん    大さじ2
砂糖      小さじ1
塩        少々
★水      大さじ1
★片栗粉  小さじ1</t>
    <phoneticPr fontId="1"/>
  </si>
  <si>
    <t>1. ★以外を容器に入れ、混ぜて3分加熱する
2. ★をよく混ぜて加え、1分加熱する</t>
    <phoneticPr fontId="1"/>
  </si>
  <si>
    <t>2016-09-12.jpg</t>
    <phoneticPr fontId="1"/>
  </si>
  <si>
    <t>カットトマト缶    1/2缶
コンソメキューブ  2個
じゃがいも        1個
人参              1本
玉ねぎ            1個
しめじ            1/2パック
ベーコン          4枚
ソーセージ        4本
ブロッコリー      1/2房
ピザ用チーズ      適量</t>
    <phoneticPr fontId="1"/>
  </si>
  <si>
    <t>トマトシチュー</t>
    <phoneticPr fontId="1"/>
  </si>
  <si>
    <t>洋風</t>
    <rPh sb="0" eb="2">
      <t>ヨウフウ</t>
    </rPh>
    <phoneticPr fontId="1"/>
  </si>
  <si>
    <t>鍋</t>
    <rPh sb="0" eb="1">
      <t>ナベ</t>
    </rPh>
    <phoneticPr fontId="1"/>
  </si>
  <si>
    <t>1. じゃがいも、人参、ブロッコリーを乱切りにする
2. 玉ねぎを櫛形切りにする
3. ベーコンを3センチくらいの大きさに切り、ソーセージは3等分する
4. 鍋にオリーブオイルを入れ、ベーコンとソーセージを炒める
5. 鍋に野菜類としめじを加えて炒める
6. 水をひたひたより少し多めに入れ、コンソメキューブを細かくして入れる
7. 強火で煮て沸騰したら蓋をして中火で20分煮込む
8. 材料に箸が通れば、トマト缶を加えて3分煮込む
9. 好みで塩コショウを振る
10. さらに盛り付けた後、熱いうちにチーズをかける</t>
    <phoneticPr fontId="1"/>
  </si>
  <si>
    <t>○</t>
    <phoneticPr fontId="1"/>
  </si>
  <si>
    <t>スウィートティー</t>
    <phoneticPr fontId="1"/>
  </si>
  <si>
    <t>洋風</t>
    <rPh sb="0" eb="2">
      <t>ヨウフウ</t>
    </rPh>
    <phoneticPr fontId="1"/>
  </si>
  <si>
    <t>茶葉          5g
レモン汁      大さじ1
グラニュー糖  50g</t>
    <phoneticPr fontId="1"/>
  </si>
  <si>
    <t>挽肉              350g
ブロッコリー      1/4株
玉ねぎ            1/2個
じゃがいも        1個
しめじ            1/2株
☆カットトマト缶  1/2缶
☆ケチャップ      大さじ3
☆ウスターソース  大さじ1
塩コショウ        適量</t>
    <phoneticPr fontId="1"/>
  </si>
  <si>
    <t>ハンバーグ風オーブン焼き</t>
    <rPh sb="5" eb="6">
      <t>フウ</t>
    </rPh>
    <rPh sb="10" eb="11">
      <t>ヤ</t>
    </rPh>
    <phoneticPr fontId="1"/>
  </si>
  <si>
    <t>洋風</t>
    <rPh sb="0" eb="2">
      <t>ヨウフウ</t>
    </rPh>
    <phoneticPr fontId="1"/>
  </si>
  <si>
    <t>1. ブロッコリーを色が変わるくらいまで茹でる
2. じゃがいもを一口大に切り、ラップをして600Wで2分30秒レンジでチンする
3. 玉ねぎを切り、しめじをばらす
4. オーブンを210℃で予熱する
5. 肉に塩コショウをかけて適度な硬さに揉む
6. 肉を皿の中央に入れ、周りに野菜を入れる
7. ☆を混ぜ合わせ、上からかける
8. 皿をゆすり、ソースを下に行き渡らせる
9. オーブンに入れ40分焼く
10. 肉汁と油とソースを混ぜ合わせる</t>
    <phoneticPr fontId="1"/>
  </si>
  <si>
    <t>DSC_0124.JPG</t>
  </si>
  <si>
    <t>印刷可能</t>
    <rPh sb="0" eb="2">
      <t>インサツ</t>
    </rPh>
    <rPh sb="2" eb="4">
      <t>カノウ</t>
    </rPh>
    <phoneticPr fontId="1"/>
  </si>
  <si>
    <t>DSC_0128.JPG</t>
  </si>
  <si>
    <t>1. 茶葉を入れ、お湯を150ml注ぐ
2. 15分置く
3. 茶葉を出しグラニュー糖を溶かす
4. レモン汁を加え、冷水を450ml注ぐ
5. 冷蔵庫で冷やす</t>
    <phoneticPr fontId="1"/>
  </si>
  <si>
    <t>western.png</t>
  </si>
  <si>
    <t>pot.png</t>
  </si>
  <si>
    <t>oven.png</t>
  </si>
  <si>
    <t>japanese.png</t>
  </si>
  <si>
    <t>pan.png</t>
  </si>
  <si>
    <t>dessert.png</t>
  </si>
  <si>
    <t>鶏チャーシュー</t>
    <rPh sb="0" eb="1">
      <t>トリ</t>
    </rPh>
    <phoneticPr fontId="1"/>
  </si>
  <si>
    <t>1. 沸騰したお湯に卵を入れ、7分茹でる
2. 卵を氷水で3分冷やす
3. ★を鍋に入れ、煮立たせる
4. 胸肉を入れ、蓋をして弱火で5分煮る
5. 裏返し、さらに5分煮る
6. 火を止めて粗熱をとり、卵を入れて冷えるまで置く</t>
    <rPh sb="54" eb="55">
      <t>ムネ</t>
    </rPh>
    <phoneticPr fontId="1"/>
  </si>
  <si>
    <t>★麺つゆ(3倍) 250ml
★水          350ml
★生姜        適量
★ニンニク    適量
鶏胸肉        1枚
半熟卵        3個
ネギ          適量
からし        適量</t>
    <rPh sb="60" eb="61">
      <t>ムネ</t>
    </rPh>
    <phoneticPr fontId="1"/>
  </si>
  <si>
    <t>DSC_0134.JPG</t>
  </si>
  <si>
    <t>南瓜とベーコンのグラタン</t>
    <phoneticPr fontId="1"/>
  </si>
  <si>
    <t>かぼちゃ          1/4個
しめじ            半分
ベーコン          2枚
ニンニク          適量
小麦粉          大さじ1
牛乳            180cc
塩コショウ        少々
シナモンパウダー  少々
とろけるチーズ    適量
バター            10g
オリーブオイル    大さじ1</t>
    <phoneticPr fontId="1"/>
  </si>
  <si>
    <t>1. かぼちゃを1分レンジで加熱する
2. かぼちゃを角切りし、ベーコンを細切りする
3. 鍋にバターと油を入れて炒める
4. かぼちゃ、しめじ、ベーコン、ニンニクを炒める
5. 焦げないように火を少しずつ小さくしながら、かぼちゃが柔らかくなるまで炒める
6. 火を止め、小麦粉を入れて混ぜる
7. 牛乳を加え、火をつける
8. 塩コショウで味付けする
9. 好みのとろみになるまで混ぜる
10. シナモンをれて混ぜる
11. 耐熱皿に入れ、チーズをのせる
12. オーブントースターで焼き色がつくまで焼く</t>
    <rPh sb="116" eb="117">
      <t>ヤワ</t>
    </rPh>
    <rPh sb="251" eb="252">
      <t>ヤ</t>
    </rPh>
    <phoneticPr fontId="1"/>
  </si>
  <si>
    <t>DSC_0135.JPG</t>
  </si>
  <si>
    <t>白菜のミルク味噌スープ</t>
  </si>
  <si>
    <t>白菜    1/16個
しめじ  1/2株
人参    1/2本
牛乳    60ml
味噌    大さじ1
出汁    大さじ1
水      240ml</t>
    <phoneticPr fontId="1"/>
  </si>
  <si>
    <t>1. 白菜を一口サイズに切る
2. 人参をせん切りにする
3. 牛乳と味噌を混ぜる
4. 鍋に野菜と水、出汁を入れて中火にかける
5. 煮立ったら火を弱めて野菜が柔らかくなるまで煮る
6. 牛乳、味噌を加えて沸騰する直前に止める</t>
    <phoneticPr fontId="1"/>
  </si>
  <si>
    <t>DSC_0136.JPG</t>
  </si>
  <si>
    <t>パンプキンパイ</t>
  </si>
  <si>
    <t>南瓜              正味350g
砂糖              大さじ2
牛乳              75cc
生クリーム        25g
バニラエッセンス  少々
冷凍パイシート    1枚
マーガリン        少々
小麦粉            少々
卵                少々</t>
    <phoneticPr fontId="1"/>
  </si>
  <si>
    <t>1. 南瓜を加熱し、柔らかくする
2. パイシートを室温に置き、柔らかくする
3. ボウルに砂糖、牛乳を加える
4. こし器で南瓜を滑らかにする
5. バニラエッセンスを加えて風味をつける
6. 生クリームを加え、硬さを調節する
7. マーガリンを型に塗る
8. 小麦粉を全体にまぶす
9. パイシートを綿棒で伸ばし、型に貼る
10. 南瓜クリームを型に流す
11. 溶き卵を刷毛で塗る
12. 200℃のオーブンで10分焼く
13. 180℃に下げて25分焼く</t>
    <phoneticPr fontId="1"/>
  </si>
  <si>
    <t>DSC_0156.JPG</t>
  </si>
  <si>
    <t>卵と小松菜の小魚炒め</t>
  </si>
  <si>
    <t>卵          3個
小松菜      1束
小魚(雑魚)  30g
ツナ缶      1缶
★だし汁    大2
★酒        中1
★醤油      中1
★砂糖      中1
★みりん    小1
★酢        中1
コショウ    適量</t>
    <phoneticPr fontId="1"/>
  </si>
  <si>
    <t>1. 小松菜を切る
2. 卵を空気を含ませながら混ぜる
3. フライパンを熱し、強火で半熟卵を作る
4. ごま油を入れ、ほかの材料を炒める
5. ★を入れてさらに炒める
6. 卵の上に盛り付ける</t>
    <phoneticPr fontId="1"/>
  </si>
  <si>
    <t>DSC_0154.JPG</t>
  </si>
  <si>
    <t>白菜とツナのクリームパスタ</t>
  </si>
  <si>
    <t>フライパン</t>
    <phoneticPr fontId="1"/>
  </si>
  <si>
    <t>白菜        1/4
玉ねぎ      1/2
ツナ缶      1/2
パスタ      1束
水          300cc
牛乳        100cc
コンソメ    1個
バター      適量
塩コショウ  少々</t>
    <phoneticPr fontId="1"/>
  </si>
  <si>
    <t>1. フライパンにバターを入れる
2. 白菜とツナ缶を軽く炒める
3. 水、コンソメ、塩コショウを入れる
4. 煮立ったら牛乳を入れる
5. 好みでコンソメや塩コショウを足す
6. パスタを表示時間通りに茹でる</t>
    <phoneticPr fontId="1"/>
  </si>
  <si>
    <t>DSC_0185.JPG</t>
  </si>
  <si>
    <t>南瓜とベーコンのグラタン</t>
  </si>
  <si>
    <t>かぼちゃ          1/4個
しめじ            半分
ベーコン          2枚
ニンニク          適量
小麦粉          大さじ1
牛乳            180cc
塩コショウ        少々
シナモンパウダー  少々
とろけるチーズ    適量
バター            10g
オリーブオイル    大さじ1</t>
  </si>
  <si>
    <t>白菜    1/16個
しめじ  1/2株
人参    1/2本
牛乳    60ml
味噌    大さじ1
出汁    大さじ1
水      240ml</t>
  </si>
  <si>
    <t>1. 白菜を一口サイズに切る
2. 人参をせん切りにする
3. 牛乳と味噌を混ぜる
4. 鍋に野菜と水、出汁を入れて中火にかける
5. 煮立ったら火を弱めて野菜が柔らかくなるまで煮る
6. 牛乳、味噌を加えて沸騰する直前に止める</t>
  </si>
  <si>
    <t>南瓜              正味350g
砂糖              大さじ2
牛乳              75cc
生クリーム        25g
バニラエッセンス  少々
冷凍パイシート    1枚
マーガリン        少々
小麦粉            少々
卵                少々</t>
  </si>
  <si>
    <t>1. 南瓜を加熱し、柔らかくする
2. パイシートを室温に置き、柔らかくする
3. ボウルに砂糖、牛乳を加える
4. こし器で南瓜を滑らかにする
5. バニラエッセンスを加えて風味をつける
6. 生クリームを加え、硬さを調節する
7. マーガリンを型に塗る
8. 小麦粉を全体にまぶす
9. パイシートを綿棒で伸ばし、型に貼る
10. 南瓜クリームを型に流す
11. 溶き卵を刷毛で塗る
12. 200℃のオーブンで10分焼く
13. 180℃に下げて25分焼く</t>
  </si>
  <si>
    <t>卵          3個
小松菜      1束
小魚(雑魚)  30g
ツナ缶      1缶
★だし汁    大2
★酒        中1
★醤油      中1
★砂糖      中1
★みりん    小1
★酢        中1
コショウ    適量</t>
  </si>
  <si>
    <t>1. 小松菜を切る
2. 卵を空気を含ませながら混ぜる
3. フライパンを熱し、強火で半熟卵を作る
4. ごま油を入れ、ほかの材料を炒める
5. ★を入れてさらに炒める
6. 卵の上に盛り付ける</t>
  </si>
  <si>
    <t>白菜        1/4
玉ねぎ      1/2
ツナ缶      1/2
パスタ      1束
水          300cc
牛乳        100cc
コンソメ    1個
バター      適量
塩コショウ  少々</t>
  </si>
  <si>
    <t>1. フライパンにバターを入れる
2. 白菜とツナ缶を軽く炒める
3. 水、コンソメ、塩コショウを入れる
4. 煮立ったら牛乳を入れる
5. 好みでコンソメや塩コショウを足す
6. パスタを表示時間通りに茹でる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</si>
</sst>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14" fontId="0" fillId="0" borderId="0" xfId="0" applyNumberFormat="1">
      <alignment vertical="center"/>
    </xf>
  </cellXfs>
  <cellStyles count="1">
    <cellStyle name="標準" xfId="0" builtinId="0"/>
  </cellStyles>
  <dxfs count="4">
    <dxf>
      <fill>
        <patternFill>
          <bgColor rgb="FFFF3300"/>
        </patternFill>
      </fill>
    </dxf>
    <dxf>
      <fill>
        <patternFill>
          <bgColor rgb="FFFF3300"/>
        </patternFill>
      </fill>
    </dxf>
    <dxf>
      <fill>
        <patternFill>
          <bgColor rgb="FFFF3300"/>
        </patternFill>
      </fill>
    </dxf>
    <dxf>
      <numFmt numFmtId="0" formatCode="General"/>
    </dxf>
  </dxfs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0</xdr:row>
          <xdr:rowOff>161925</xdr:rowOff>
        </xdr:from>
        <xdr:to>
          <xdr:col>9</xdr:col>
          <xdr:colOff>9525</xdr:colOff>
          <xdr:row>2</xdr:row>
          <xdr:rowOff>28575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381000</xdr:colOff>
          <xdr:row>0</xdr:row>
          <xdr:rowOff>85725</xdr:rowOff>
        </xdr:from>
        <xdr:to>
          <xdr:col>15</xdr:col>
          <xdr:colOff>390525</xdr:colOff>
          <xdr:row>14</xdr:row>
          <xdr:rowOff>295275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テーブル1" displayName="テーブル1" ref="A1:L20" totalsRowShown="0">
  <autoFilter ref="A1:L20">
    <filterColumn colId="10">
      <filters blank="1"/>
    </filterColumn>
    <filterColumn colId="11">
      <customFilters>
        <customFilter operator="notEqual" val=" "/>
      </customFilters>
    </filterColumn>
  </autoFilter>
  <tableColumns count="12">
    <tableColumn id="1" name="料理名"/>
    <tableColumn id="2" name="ジャンル"/>
    <tableColumn id="3" name="列1"/>
    <tableColumn id="4" name="仕様器具"/>
    <tableColumn id="5" name="列2"/>
    <tableColumn id="6" name="量(人前)"/>
    <tableColumn id="7" name="材料"/>
    <tableColumn id="8" name="作り方"/>
    <tableColumn id="9" name="画像"/>
    <tableColumn id="10" name="half"/>
    <tableColumn id="11" name="印刷済"/>
    <tableColumn id="12" name="印刷可能" dataDxfId="3">
      <calculatedColumnFormula>IF(AND(COUNTBLANK(テーブル1[[#This Row],[料理名]:[画像]])=0,テーブル1[[#This Row],[印刷済]]=""),"〇","")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7"/>
  <sheetViews>
    <sheetView tabSelected="1" workbookViewId="0">
      <selection activeCell="A2" sqref="A2"/>
    </sheetView>
  </sheetViews>
  <sheetFormatPr defaultRowHeight="18.75" x14ac:dyDescent="0.4"/>
  <cols>
    <col min="1" max="1" width="27.375" bestFit="1" customWidth="1"/>
    <col min="2" max="2" width="13.375" bestFit="1" customWidth="1"/>
    <col min="3" max="3" width="11.25" bestFit="1" customWidth="1"/>
    <col min="4" max="4" width="8.625" bestFit="1" customWidth="1"/>
    <col min="7" max="7" width="23.125" bestFit="1" customWidth="1"/>
  </cols>
  <sheetData>
    <row r="1" spans="1:7" x14ac:dyDescent="0.4">
      <c r="A1" t="s">
        <v>0</v>
      </c>
      <c r="B1" t="s">
        <v>6</v>
      </c>
      <c r="C1" t="s">
        <v>5</v>
      </c>
      <c r="D1" t="s">
        <v>1</v>
      </c>
      <c r="E1" t="s">
        <v>2</v>
      </c>
      <c r="F1" t="s">
        <v>3</v>
      </c>
      <c r="G1" t="s">
        <v>4</v>
      </c>
    </row>
    <row r="2" spans="1:7" x14ac:dyDescent="0.4">
      <c r="A2" t="s">
        <v>107</v>
      </c>
      <c r="B2" t="s">
        <v>104</v>
      </c>
      <c r="C2" t="s">
        <v>102</v>
      </c>
      <c r="D2">
        <v>2</v>
      </c>
      <c r="E2" t="s">
        <v>109</v>
      </c>
      <c r="F2" t="s">
        <v>108</v>
      </c>
      <c r="G2" t="s">
        <v>110</v>
      </c>
    </row>
    <row r="3" spans="1:7" x14ac:dyDescent="0.4">
      <c r="A3" t="s">
        <v>132</v>
      </c>
      <c r="B3" t="s">
        <v>101</v>
      </c>
      <c r="C3" t="s">
        <v>102</v>
      </c>
      <c r="D3">
        <v>4</v>
      </c>
      <c r="E3" t="s">
        <v>133</v>
      </c>
      <c r="F3" t="s">
        <v>113</v>
      </c>
      <c r="G3" t="s">
        <v>114</v>
      </c>
    </row>
    <row r="4" spans="1:7" x14ac:dyDescent="0.4">
      <c r="A4" t="s">
        <v>115</v>
      </c>
      <c r="B4" t="s">
        <v>101</v>
      </c>
      <c r="C4" t="s">
        <v>102</v>
      </c>
      <c r="D4">
        <v>1</v>
      </c>
      <c r="E4" t="s">
        <v>134</v>
      </c>
      <c r="F4" t="s">
        <v>135</v>
      </c>
      <c r="G4" t="s">
        <v>118</v>
      </c>
    </row>
    <row r="5" spans="1:7" x14ac:dyDescent="0.4">
      <c r="A5" t="s">
        <v>119</v>
      </c>
      <c r="B5" t="s">
        <v>106</v>
      </c>
      <c r="C5" t="s">
        <v>103</v>
      </c>
      <c r="D5">
        <v>4</v>
      </c>
      <c r="E5" t="s">
        <v>136</v>
      </c>
      <c r="F5" t="s">
        <v>137</v>
      </c>
      <c r="G5" t="s">
        <v>122</v>
      </c>
    </row>
    <row r="6" spans="1:7" x14ac:dyDescent="0.4">
      <c r="A6" t="s">
        <v>123</v>
      </c>
      <c r="B6" t="s">
        <v>104</v>
      </c>
      <c r="C6" t="s">
        <v>105</v>
      </c>
      <c r="D6">
        <v>2</v>
      </c>
      <c r="E6" t="s">
        <v>138</v>
      </c>
      <c r="F6" t="s">
        <v>139</v>
      </c>
      <c r="G6" t="s">
        <v>126</v>
      </c>
    </row>
    <row r="7" spans="1:7" x14ac:dyDescent="0.4">
      <c r="A7" t="s">
        <v>127</v>
      </c>
      <c r="B7" t="s">
        <v>101</v>
      </c>
      <c r="C7" t="s">
        <v>105</v>
      </c>
      <c r="D7">
        <v>1</v>
      </c>
      <c r="E7" t="s">
        <v>140</v>
      </c>
      <c r="F7" t="s">
        <v>141</v>
      </c>
      <c r="G7" t="s">
        <v>131</v>
      </c>
    </row>
  </sheetData>
  <phoneticPr fontId="1"/>
  <pageMargins left="0.7" right="0.7" top="0.75" bottom="0.75" header="0.3" footer="0.3"/>
  <pageSetup paperSize="11" orientation="landscape" horizontalDpi="4294967293" r:id="rId1"/>
  <drawing r:id="rId2"/>
  <legacyDrawing r:id="rId3"/>
  <controls>
    <mc:AlternateContent xmlns:mc="http://schemas.openxmlformats.org/markup-compatibility/2006">
      <mc:Choice Requires="x14">
        <control shapeId="1028" r:id="rId4" name="CommandButton1">
          <controlPr defaultSize="0" autoLine="0" r:id="rId5">
            <anchor moveWithCells="1">
              <from>
                <xdr:col>7</xdr:col>
                <xdr:colOff>9525</xdr:colOff>
                <xdr:row>0</xdr:row>
                <xdr:rowOff>161925</xdr:rowOff>
              </from>
              <to>
                <xdr:col>9</xdr:col>
                <xdr:colOff>9525</xdr:colOff>
                <xdr:row>2</xdr:row>
                <xdr:rowOff>28575</xdr:rowOff>
              </to>
            </anchor>
          </controlPr>
        </control>
      </mc:Choice>
      <mc:Fallback>
        <control shapeId="1028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144"/>
  <sheetViews>
    <sheetView zoomScale="70" zoomScaleNormal="70" workbookViewId="0">
      <pane ySplit="1" topLeftCell="A2" activePane="bottomLeft" state="frozen"/>
      <selection pane="bottomLeft"/>
    </sheetView>
  </sheetViews>
  <sheetFormatPr defaultRowHeight="18.75" x14ac:dyDescent="0.4"/>
  <cols>
    <col min="1" max="1" width="27.375" bestFit="1" customWidth="1"/>
    <col min="2" max="2" width="10.25" customWidth="1"/>
    <col min="3" max="3" width="13.375" hidden="1" customWidth="1"/>
    <col min="4" max="4" width="10.875" customWidth="1"/>
    <col min="5" max="5" width="9" hidden="1" customWidth="1"/>
    <col min="6" max="6" width="9.875" customWidth="1"/>
    <col min="7" max="7" width="26" customWidth="1"/>
    <col min="8" max="8" width="32.625" customWidth="1"/>
    <col min="9" max="9" width="23.125" bestFit="1" customWidth="1"/>
    <col min="11" max="11" width="10.25" bestFit="1" customWidth="1"/>
  </cols>
  <sheetData>
    <row r="1" spans="1:12" x14ac:dyDescent="0.4">
      <c r="A1" t="s">
        <v>0</v>
      </c>
      <c r="B1" t="s">
        <v>6</v>
      </c>
      <c r="C1" t="s">
        <v>61</v>
      </c>
      <c r="D1" t="s">
        <v>5</v>
      </c>
      <c r="E1" t="s">
        <v>62</v>
      </c>
      <c r="F1" t="s">
        <v>1</v>
      </c>
      <c r="G1" t="s">
        <v>2</v>
      </c>
      <c r="H1" t="s">
        <v>3</v>
      </c>
      <c r="I1" t="s">
        <v>4</v>
      </c>
      <c r="J1" t="s">
        <v>33</v>
      </c>
      <c r="K1" t="s">
        <v>72</v>
      </c>
      <c r="L1" t="s">
        <v>98</v>
      </c>
    </row>
    <row r="2" spans="1:12" ht="225" hidden="1" x14ac:dyDescent="0.4">
      <c r="A2" t="s">
        <v>28</v>
      </c>
      <c r="B2" t="s">
        <v>10</v>
      </c>
      <c r="C2" t="str">
        <f>IF(B2&lt;&gt;"",VLOOKUP(B2,情報シート!A$2:B$10,2,FALSE),"")</f>
        <v>japanese.png</v>
      </c>
      <c r="D2" t="s">
        <v>16</v>
      </c>
      <c r="E2" t="str">
        <f>IF(D2&lt;&gt;"",VLOOKUP(D2,情報シート!D$2:E$10,2,FALSE),"")</f>
        <v>pan.png</v>
      </c>
      <c r="F2">
        <v>2</v>
      </c>
      <c r="G2" s="2" t="s">
        <v>45</v>
      </c>
      <c r="H2" s="2" t="s">
        <v>38</v>
      </c>
      <c r="I2" s="1" t="s">
        <v>29</v>
      </c>
      <c r="K2" t="s">
        <v>69</v>
      </c>
      <c r="L2" t="str">
        <f>IF(AND(COUNTBLANK(テーブル1[[#This Row],[料理名]:[画像]])=0,テーブル1[[#This Row],[印刷済]]=""),"〇","")</f>
        <v/>
      </c>
    </row>
    <row r="3" spans="1:12" ht="56.25" hidden="1" x14ac:dyDescent="0.4">
      <c r="A3" t="s">
        <v>30</v>
      </c>
      <c r="B3" t="s">
        <v>10</v>
      </c>
      <c r="C3" t="str">
        <f>IF(B3&lt;&gt;"",VLOOKUP(B3,情報シート!A$2:B$10,2,FALSE),"")</f>
        <v>japanese.png</v>
      </c>
      <c r="D3" t="s">
        <v>31</v>
      </c>
      <c r="E3" t="str">
        <f>IF(D3&lt;&gt;"",VLOOKUP(D3,情報シート!D$2:E$10,2,FALSE),"")</f>
        <v>knife.png</v>
      </c>
      <c r="F3">
        <v>2</v>
      </c>
      <c r="G3" s="2" t="s">
        <v>32</v>
      </c>
      <c r="H3" s="2" t="s">
        <v>63</v>
      </c>
      <c r="I3" t="s">
        <v>36</v>
      </c>
      <c r="J3" t="s">
        <v>34</v>
      </c>
      <c r="K3" t="s">
        <v>69</v>
      </c>
      <c r="L3" t="str">
        <f>IF(AND(COUNTBLANK(テーブル1[[#This Row],[料理名]:[画像]])=0,テーブル1[[#This Row],[印刷済]]=""),"〇","")</f>
        <v/>
      </c>
    </row>
    <row r="4" spans="1:12" ht="150" hidden="1" x14ac:dyDescent="0.4">
      <c r="A4" t="s">
        <v>37</v>
      </c>
      <c r="B4" t="s">
        <v>10</v>
      </c>
      <c r="C4" t="str">
        <f>IF(B4&lt;&gt;"",VLOOKUP(B4,情報シート!A$2:B$10,2,FALSE),"")</f>
        <v>japanese.png</v>
      </c>
      <c r="D4" t="s">
        <v>16</v>
      </c>
      <c r="E4" t="str">
        <f>IF(D4&lt;&gt;"",VLOOKUP(D4,情報シート!D$2:E$10,2,FALSE),"")</f>
        <v>pan.png</v>
      </c>
      <c r="F4">
        <v>2</v>
      </c>
      <c r="G4" s="2" t="s">
        <v>43</v>
      </c>
      <c r="H4" s="2" t="s">
        <v>39</v>
      </c>
      <c r="I4" t="s">
        <v>40</v>
      </c>
      <c r="K4" t="s">
        <v>70</v>
      </c>
      <c r="L4" t="str">
        <f>IF(AND(COUNTBLANK(テーブル1[[#This Row],[料理名]:[画像]])=0,テーブル1[[#This Row],[印刷済]]=""),"〇","")</f>
        <v/>
      </c>
    </row>
    <row r="5" spans="1:12" ht="150" hidden="1" x14ac:dyDescent="0.4">
      <c r="A5" t="s">
        <v>42</v>
      </c>
      <c r="B5" t="s">
        <v>10</v>
      </c>
      <c r="C5" t="str">
        <f>IF(B5&lt;&gt;"",VLOOKUP(B5,情報シート!A$2:B$10,2,FALSE),"")</f>
        <v>japanese.png</v>
      </c>
      <c r="D5" t="s">
        <v>16</v>
      </c>
      <c r="E5" t="str">
        <f>IF(D5&lt;&gt;"",VLOOKUP(D5,情報シート!D$2:E$10,2,FALSE),"")</f>
        <v>pan.png</v>
      </c>
      <c r="F5">
        <v>3</v>
      </c>
      <c r="G5" s="2" t="s">
        <v>44</v>
      </c>
      <c r="H5" s="2" t="s">
        <v>46</v>
      </c>
      <c r="I5" t="s">
        <v>41</v>
      </c>
      <c r="J5" t="s">
        <v>47</v>
      </c>
      <c r="K5" t="s">
        <v>68</v>
      </c>
      <c r="L5" t="str">
        <f>IF(AND(COUNTBLANK(テーブル1[[#This Row],[料理名]:[画像]])=0,テーブル1[[#This Row],[印刷済]]=""),"〇","")</f>
        <v/>
      </c>
    </row>
    <row r="6" spans="1:12" ht="75" hidden="1" x14ac:dyDescent="0.4">
      <c r="A6" t="s">
        <v>48</v>
      </c>
      <c r="B6" t="s">
        <v>10</v>
      </c>
      <c r="C6" t="str">
        <f>IF(B6&lt;&gt;"",VLOOKUP(B6,情報シート!A$2:B$10,2,FALSE),"")</f>
        <v>japanese.png</v>
      </c>
      <c r="D6" t="s">
        <v>18</v>
      </c>
      <c r="E6" t="str">
        <f>IF(D6&lt;&gt;"",VLOOKUP(D6,情報シート!D$2:E$10,2,FALSE),"")</f>
        <v>pot.png</v>
      </c>
      <c r="F6">
        <v>1</v>
      </c>
      <c r="G6" s="2" t="s">
        <v>49</v>
      </c>
      <c r="H6" s="2" t="s">
        <v>51</v>
      </c>
      <c r="I6" t="s">
        <v>50</v>
      </c>
      <c r="J6" t="s">
        <v>34</v>
      </c>
      <c r="K6" t="s">
        <v>68</v>
      </c>
      <c r="L6" t="str">
        <f>IF(AND(COUNTBLANK(テーブル1[[#This Row],[料理名]:[画像]])=0,テーブル1[[#This Row],[印刷済]]=""),"〇","")</f>
        <v/>
      </c>
    </row>
    <row r="7" spans="1:12" ht="206.25" hidden="1" x14ac:dyDescent="0.4">
      <c r="A7" t="s">
        <v>55</v>
      </c>
      <c r="B7" t="s">
        <v>11</v>
      </c>
      <c r="C7" t="str">
        <f>IF(B7&lt;&gt;"",VLOOKUP(B7,情報シート!A$2:B$10,2,FALSE),"")</f>
        <v>western.png</v>
      </c>
      <c r="D7" t="s">
        <v>19</v>
      </c>
      <c r="E7" t="str">
        <f>IF(D7&lt;&gt;"",VLOOKUP(D7,情報シート!D$2:E$10,2,FALSE),"")</f>
        <v>toaster.png</v>
      </c>
      <c r="F7">
        <v>3</v>
      </c>
      <c r="G7" s="2" t="s">
        <v>53</v>
      </c>
      <c r="H7" s="2" t="s">
        <v>54</v>
      </c>
      <c r="I7" t="s">
        <v>52</v>
      </c>
      <c r="K7" t="s">
        <v>69</v>
      </c>
      <c r="L7" t="str">
        <f>IF(AND(COUNTBLANK(テーブル1[[#This Row],[料理名]:[画像]])=0,テーブル1[[#This Row],[印刷済]]=""),"〇","")</f>
        <v/>
      </c>
    </row>
    <row r="8" spans="1:12" ht="300" hidden="1" x14ac:dyDescent="0.4">
      <c r="A8" t="s">
        <v>57</v>
      </c>
      <c r="B8" t="s">
        <v>35</v>
      </c>
      <c r="C8" t="str">
        <f>IF(B8&lt;&gt;"",VLOOKUP(B8,情報シート!A$2:B$10,2,FALSE),"")</f>
        <v>dessert.png</v>
      </c>
      <c r="D8" t="s">
        <v>58</v>
      </c>
      <c r="E8" t="str">
        <f>IF(D8&lt;&gt;"",VLOOKUP(D8,情報シート!D$2:E$10,2,FALSE),"")</f>
        <v>oven.png</v>
      </c>
      <c r="F8">
        <v>5</v>
      </c>
      <c r="G8" s="2" t="s">
        <v>59</v>
      </c>
      <c r="H8" s="2" t="s">
        <v>60</v>
      </c>
      <c r="I8" t="s">
        <v>56</v>
      </c>
      <c r="K8" t="s">
        <v>69</v>
      </c>
      <c r="L8" t="str">
        <f>IF(AND(COUNTBLANK(テーブル1[[#This Row],[料理名]:[画像]])=0,テーブル1[[#This Row],[印刷済]]=""),"〇","")</f>
        <v/>
      </c>
    </row>
    <row r="9" spans="1:12" ht="150" hidden="1" x14ac:dyDescent="0.4">
      <c r="A9" t="s">
        <v>64</v>
      </c>
      <c r="B9" t="s">
        <v>11</v>
      </c>
      <c r="C9" t="str">
        <f>IF(B9&lt;&gt;"",VLOOKUP(B9,情報シート!A$2:B$10,2,FALSE),"")</f>
        <v>western.png</v>
      </c>
      <c r="D9" t="s">
        <v>16</v>
      </c>
      <c r="E9" t="str">
        <f>IF(D9&lt;&gt;"",VLOOKUP(D9,情報シート!D$2:E$10,2,FALSE),"")</f>
        <v>pan.png</v>
      </c>
      <c r="F9">
        <v>2</v>
      </c>
      <c r="G9" s="2" t="s">
        <v>65</v>
      </c>
      <c r="H9" s="2" t="s">
        <v>67</v>
      </c>
      <c r="I9" t="s">
        <v>66</v>
      </c>
      <c r="K9" t="s">
        <v>71</v>
      </c>
      <c r="L9" t="str">
        <f>IF(AND(COUNTBLANK(テーブル1[[#This Row],[料理名]:[画像]])=0,テーブル1[[#This Row],[印刷済]]=""),"〇","")</f>
        <v/>
      </c>
    </row>
    <row r="10" spans="1:12" ht="168.75" hidden="1" x14ac:dyDescent="0.4">
      <c r="A10" t="s">
        <v>74</v>
      </c>
      <c r="B10" t="s">
        <v>10</v>
      </c>
      <c r="C10" t="str">
        <f>IF(B10&lt;&gt;"",VLOOKUP(B10,情報シート!A$2:B$10,2,FALSE),"")</f>
        <v>japanese.png</v>
      </c>
      <c r="D10" t="s">
        <v>73</v>
      </c>
      <c r="E10" t="str">
        <f>IF(D10&lt;&gt;"",VLOOKUP(D10,情報シート!D$2:E$10,2,FALSE),"")</f>
        <v>pot.png</v>
      </c>
      <c r="F10">
        <v>2</v>
      </c>
      <c r="G10" s="2" t="s">
        <v>75</v>
      </c>
      <c r="H10" s="2" t="s">
        <v>76</v>
      </c>
      <c r="L10" t="str">
        <f>IF(AND(COUNTBLANK(テーブル1[[#This Row],[料理名]:[画像]])=0,テーブル1[[#This Row],[印刷済]]=""),"〇","")</f>
        <v/>
      </c>
    </row>
    <row r="11" spans="1:12" ht="131.25" hidden="1" x14ac:dyDescent="0.4">
      <c r="A11" t="s">
        <v>77</v>
      </c>
      <c r="B11" t="s">
        <v>78</v>
      </c>
      <c r="C11" t="str">
        <f>IF(B11&lt;&gt;"",VLOOKUP(B11,情報シート!A$2:B$10,2,FALSE),"")</f>
        <v>japanese.png</v>
      </c>
      <c r="D11" t="s">
        <v>80</v>
      </c>
      <c r="E11" t="str">
        <f>IF(D11&lt;&gt;"",VLOOKUP(D11,情報シート!D$2:E$10,2,FALSE),"")</f>
        <v>oven.png</v>
      </c>
      <c r="F11">
        <v>2</v>
      </c>
      <c r="G11" s="2" t="s">
        <v>81</v>
      </c>
      <c r="H11" s="2" t="s">
        <v>82</v>
      </c>
      <c r="J11" t="s">
        <v>89</v>
      </c>
      <c r="L11" t="str">
        <f>IF(AND(COUNTBLANK(テーブル1[[#This Row],[料理名]:[画像]])=0,テーブル1[[#This Row],[印刷済]]=""),"〇","")</f>
        <v/>
      </c>
    </row>
    <row r="12" spans="1:12" ht="318.75" hidden="1" x14ac:dyDescent="0.4">
      <c r="A12" t="s">
        <v>85</v>
      </c>
      <c r="B12" t="s">
        <v>86</v>
      </c>
      <c r="C12" t="str">
        <f>IF(B12&lt;&gt;"",VLOOKUP(B12,情報シート!A$2:B$10,2,FALSE),"")</f>
        <v>western.png</v>
      </c>
      <c r="D12" t="s">
        <v>87</v>
      </c>
      <c r="E12" t="str">
        <f>IF(D12&lt;&gt;"",VLOOKUP(D12,情報シート!D$2:E$10,2,FALSE),"")</f>
        <v>pot.png</v>
      </c>
      <c r="F12">
        <v>4</v>
      </c>
      <c r="G12" s="2" t="s">
        <v>84</v>
      </c>
      <c r="H12" s="2" t="s">
        <v>88</v>
      </c>
      <c r="I12" s="3" t="s">
        <v>83</v>
      </c>
      <c r="K12" t="s">
        <v>68</v>
      </c>
      <c r="L12" t="str">
        <f>IF(AND(COUNTBLANK(テーブル1[[#This Row],[料理名]:[画像]])=0,テーブル1[[#This Row],[印刷済]]=""),"〇","")</f>
        <v/>
      </c>
    </row>
    <row r="13" spans="1:12" ht="93.75" hidden="1" x14ac:dyDescent="0.4">
      <c r="A13" t="s">
        <v>90</v>
      </c>
      <c r="B13" t="s">
        <v>91</v>
      </c>
      <c r="C13" t="str">
        <f>IF(B13&lt;&gt;"",VLOOKUP(B13,情報シート!A$2:B$10,2,FALSE),"")</f>
        <v>western.png</v>
      </c>
      <c r="D13" t="s">
        <v>18</v>
      </c>
      <c r="E13" t="str">
        <f>IF(D13&lt;&gt;"",VLOOKUP(D13,情報シート!D$2:E$10,2,FALSE),"")</f>
        <v>pot.png</v>
      </c>
      <c r="F13">
        <v>3</v>
      </c>
      <c r="G13" s="2" t="s">
        <v>92</v>
      </c>
      <c r="H13" s="2" t="s">
        <v>100</v>
      </c>
      <c r="I13" t="s">
        <v>99</v>
      </c>
      <c r="J13" t="s">
        <v>34</v>
      </c>
      <c r="K13" t="s">
        <v>68</v>
      </c>
      <c r="L13" t="str">
        <f>IF(AND(COUNTBLANK(テーブル1[[#This Row],[料理名]:[画像]])=0,テーブル1[[#This Row],[印刷済]]=""),"〇","")</f>
        <v/>
      </c>
    </row>
    <row r="14" spans="1:12" ht="300" hidden="1" x14ac:dyDescent="0.4">
      <c r="A14" t="s">
        <v>94</v>
      </c>
      <c r="B14" t="s">
        <v>95</v>
      </c>
      <c r="C14" t="str">
        <f>IF(B14&lt;&gt;"",VLOOKUP(B14,情報シート!A$2:B$10,2,FALSE),"")</f>
        <v>western.png</v>
      </c>
      <c r="D14" t="s">
        <v>58</v>
      </c>
      <c r="E14" t="str">
        <f>IF(D14&lt;&gt;"",VLOOKUP(D14,情報シート!D$2:E$10,2,FALSE),"")</f>
        <v>oven.png</v>
      </c>
      <c r="F14">
        <v>4</v>
      </c>
      <c r="G14" s="2" t="s">
        <v>93</v>
      </c>
      <c r="H14" s="2" t="s">
        <v>96</v>
      </c>
      <c r="I14" t="s">
        <v>97</v>
      </c>
      <c r="K14" t="s">
        <v>68</v>
      </c>
      <c r="L14" t="str">
        <f>IF(AND(COUNTBLANK(テーブル1[[#This Row],[料理名]:[画像]])=0,テーブル1[[#This Row],[印刷済]]=""),"〇","")</f>
        <v/>
      </c>
    </row>
    <row r="15" spans="1:12" ht="168.75" x14ac:dyDescent="0.4">
      <c r="A15" t="s">
        <v>107</v>
      </c>
      <c r="B15" t="s">
        <v>10</v>
      </c>
      <c r="C15" t="str">
        <f>IF(B15&lt;&gt;"",VLOOKUP(B15,情報シート!A$2:B$10,2,FALSE),"")</f>
        <v>japanese.png</v>
      </c>
      <c r="D15" t="s">
        <v>18</v>
      </c>
      <c r="E15" t="str">
        <f>IF(D15&lt;&gt;"",VLOOKUP(D15,情報シート!D$2:E$10,2,FALSE),"")</f>
        <v>pot.png</v>
      </c>
      <c r="F15">
        <v>2</v>
      </c>
      <c r="G15" s="2" t="s">
        <v>109</v>
      </c>
      <c r="H15" s="2" t="s">
        <v>108</v>
      </c>
      <c r="I15" t="s">
        <v>110</v>
      </c>
      <c r="L15" t="str">
        <f>IF(AND(COUNTBLANK(テーブル1[[#This Row],[料理名]:[画像]])=0,テーブル1[[#This Row],[印刷済]]=""),"〇","")</f>
        <v>〇</v>
      </c>
    </row>
    <row r="16" spans="1:12" ht="318.75" x14ac:dyDescent="0.4">
      <c r="A16" t="s">
        <v>111</v>
      </c>
      <c r="B16" t="s">
        <v>11</v>
      </c>
      <c r="C16" t="str">
        <f>IF(B16&lt;&gt;"",VLOOKUP(B16,情報シート!A$2:B$10,2,FALSE),"")</f>
        <v>western.png</v>
      </c>
      <c r="D16" t="s">
        <v>18</v>
      </c>
      <c r="E16" t="str">
        <f>IF(D16&lt;&gt;"",VLOOKUP(D16,情報シート!D$2:E$10,2,FALSE),"")</f>
        <v>pot.png</v>
      </c>
      <c r="F16">
        <v>4</v>
      </c>
      <c r="G16" s="2" t="s">
        <v>112</v>
      </c>
      <c r="H16" s="2" t="s">
        <v>113</v>
      </c>
      <c r="I16" t="s">
        <v>114</v>
      </c>
      <c r="L16" t="str">
        <f>IF(AND(COUNTBLANK(テーブル1[[#This Row],[料理名]:[画像]])=0,テーブル1[[#This Row],[印刷済]]=""),"〇","")</f>
        <v>〇</v>
      </c>
    </row>
    <row r="17" spans="1:12" ht="168.75" x14ac:dyDescent="0.4">
      <c r="A17" t="s">
        <v>115</v>
      </c>
      <c r="B17" t="s">
        <v>11</v>
      </c>
      <c r="C17" t="str">
        <f>IF(B17&lt;&gt;"",VLOOKUP(B17,情報シート!A$2:B$10,2,FALSE),"")</f>
        <v>western.png</v>
      </c>
      <c r="D17" t="s">
        <v>18</v>
      </c>
      <c r="E17" t="str">
        <f>IF(D17&lt;&gt;"",VLOOKUP(D17,情報シート!D$2:E$10,2,FALSE),"")</f>
        <v>pot.png</v>
      </c>
      <c r="F17">
        <v>1</v>
      </c>
      <c r="G17" s="2" t="s">
        <v>116</v>
      </c>
      <c r="H17" s="2" t="s">
        <v>117</v>
      </c>
      <c r="I17" t="s">
        <v>118</v>
      </c>
      <c r="L17" t="str">
        <f>IF(AND(COUNTBLANK(テーブル1[[#This Row],[料理名]:[画像]])=0,テーブル1[[#This Row],[印刷済]]=""),"〇","")</f>
        <v>〇</v>
      </c>
    </row>
    <row r="18" spans="1:12" ht="300" x14ac:dyDescent="0.4">
      <c r="A18" t="s">
        <v>119</v>
      </c>
      <c r="B18" t="s">
        <v>35</v>
      </c>
      <c r="C18" t="str">
        <f>IF(B18&lt;&gt;"",VLOOKUP(B18,情報シート!A$2:B$10,2,FALSE),"")</f>
        <v>dessert.png</v>
      </c>
      <c r="D18" t="s">
        <v>58</v>
      </c>
      <c r="E18" t="str">
        <f>IF(D18&lt;&gt;"",VLOOKUP(D18,情報シート!D$2:E$10,2,FALSE),"")</f>
        <v>oven.png</v>
      </c>
      <c r="F18">
        <v>4</v>
      </c>
      <c r="G18" s="2" t="s">
        <v>120</v>
      </c>
      <c r="H18" s="2" t="s">
        <v>121</v>
      </c>
      <c r="I18" t="s">
        <v>122</v>
      </c>
      <c r="L18" t="str">
        <f>IF(AND(COUNTBLANK(テーブル1[[#This Row],[料理名]:[画像]])=0,テーブル1[[#This Row],[印刷済]]=""),"〇","")</f>
        <v>〇</v>
      </c>
    </row>
    <row r="19" spans="1:12" ht="206.25" x14ac:dyDescent="0.4">
      <c r="A19" t="s">
        <v>123</v>
      </c>
      <c r="B19" t="s">
        <v>10</v>
      </c>
      <c r="C19" t="str">
        <f>IF(B19&lt;&gt;"",VLOOKUP(B19,情報シート!A$2:B$10,2,FALSE),"")</f>
        <v>japanese.png</v>
      </c>
      <c r="D19" t="s">
        <v>16</v>
      </c>
      <c r="E19" t="str">
        <f>IF(D19&lt;&gt;"",VLOOKUP(D19,情報シート!D$2:E$10,2,FALSE),"")</f>
        <v>pan.png</v>
      </c>
      <c r="F19" s="2">
        <v>2</v>
      </c>
      <c r="G19" s="2" t="s">
        <v>124</v>
      </c>
      <c r="H19" s="2" t="s">
        <v>125</v>
      </c>
      <c r="I19" t="s">
        <v>126</v>
      </c>
      <c r="L19" t="str">
        <f>IF(AND(COUNTBLANK(テーブル1[[#This Row],[料理名]:[画像]])=0,テーブル1[[#This Row],[印刷済]]=""),"〇","")</f>
        <v>〇</v>
      </c>
    </row>
    <row r="20" spans="1:12" ht="168.75" x14ac:dyDescent="0.4">
      <c r="A20" t="s">
        <v>127</v>
      </c>
      <c r="B20" t="s">
        <v>11</v>
      </c>
      <c r="C20" t="str">
        <f>IF(B20&lt;&gt;"",VLOOKUP(B20,情報シート!A$2:B$10,2,FALSE),"")</f>
        <v>western.png</v>
      </c>
      <c r="D20" t="s">
        <v>128</v>
      </c>
      <c r="E20" t="str">
        <f>IF(D20&lt;&gt;"",VLOOKUP(D20,情報シート!D$2:E$10,2,FALSE),"")</f>
        <v>pan.png</v>
      </c>
      <c r="F20">
        <v>1</v>
      </c>
      <c r="G20" s="2" t="s">
        <v>129</v>
      </c>
      <c r="H20" s="2" t="s">
        <v>130</v>
      </c>
      <c r="I20" t="s">
        <v>131</v>
      </c>
      <c r="L20" t="str">
        <f>IF(AND(COUNTBLANK(テーブル1[[#This Row],[料理名]:[画像]])=0,テーブル1[[#This Row],[印刷済]]=""),"〇","")</f>
        <v>〇</v>
      </c>
    </row>
    <row r="21" spans="1:12" x14ac:dyDescent="0.4">
      <c r="G21" s="2"/>
      <c r="H21" s="2"/>
    </row>
    <row r="22" spans="1:12" x14ac:dyDescent="0.4">
      <c r="G22" s="2"/>
      <c r="H22" s="2"/>
    </row>
    <row r="23" spans="1:12" x14ac:dyDescent="0.4">
      <c r="G23" s="2"/>
      <c r="H23" s="2"/>
    </row>
    <row r="24" spans="1:12" x14ac:dyDescent="0.4">
      <c r="G24" s="2"/>
      <c r="H24" s="2"/>
    </row>
    <row r="25" spans="1:12" x14ac:dyDescent="0.4">
      <c r="G25" s="2"/>
      <c r="H25" s="2"/>
    </row>
    <row r="26" spans="1:12" x14ac:dyDescent="0.4">
      <c r="G26" s="2"/>
      <c r="H26" s="2"/>
    </row>
    <row r="27" spans="1:12" x14ac:dyDescent="0.4">
      <c r="G27" s="2"/>
      <c r="H27" s="2"/>
    </row>
    <row r="28" spans="1:12" x14ac:dyDescent="0.4">
      <c r="G28" s="2"/>
      <c r="H28" s="2"/>
    </row>
    <row r="29" spans="1:12" x14ac:dyDescent="0.4">
      <c r="G29" s="2"/>
      <c r="H29" s="2"/>
    </row>
    <row r="30" spans="1:12" x14ac:dyDescent="0.4">
      <c r="G30" s="2"/>
      <c r="H30" s="2"/>
    </row>
    <row r="31" spans="1:12" x14ac:dyDescent="0.4">
      <c r="G31" s="2"/>
      <c r="H31" s="2"/>
    </row>
    <row r="32" spans="1:12" x14ac:dyDescent="0.4">
      <c r="G32" s="2"/>
      <c r="H32" s="2"/>
    </row>
    <row r="33" spans="7:8" x14ac:dyDescent="0.4">
      <c r="G33" s="2"/>
      <c r="H33" s="2"/>
    </row>
    <row r="34" spans="7:8" x14ac:dyDescent="0.4">
      <c r="G34" s="2"/>
      <c r="H34" s="2"/>
    </row>
    <row r="35" spans="7:8" x14ac:dyDescent="0.4">
      <c r="G35" s="2"/>
      <c r="H35" s="2"/>
    </row>
    <row r="36" spans="7:8" x14ac:dyDescent="0.4">
      <c r="G36" s="2"/>
      <c r="H36" s="2"/>
    </row>
    <row r="37" spans="7:8" x14ac:dyDescent="0.4">
      <c r="G37" s="2"/>
      <c r="H37" s="2"/>
    </row>
    <row r="38" spans="7:8" x14ac:dyDescent="0.4">
      <c r="G38" s="2"/>
      <c r="H38" s="2"/>
    </row>
    <row r="39" spans="7:8" x14ac:dyDescent="0.4">
      <c r="G39" s="2"/>
      <c r="H39" s="2"/>
    </row>
    <row r="40" spans="7:8" x14ac:dyDescent="0.4">
      <c r="G40" s="2"/>
      <c r="H40" s="2"/>
    </row>
    <row r="41" spans="7:8" x14ac:dyDescent="0.4">
      <c r="G41" s="2"/>
      <c r="H41" s="2"/>
    </row>
    <row r="42" spans="7:8" x14ac:dyDescent="0.4">
      <c r="G42" s="2"/>
      <c r="H42" s="2"/>
    </row>
    <row r="43" spans="7:8" x14ac:dyDescent="0.4">
      <c r="G43" s="2"/>
      <c r="H43" s="2"/>
    </row>
    <row r="44" spans="7:8" x14ac:dyDescent="0.4">
      <c r="G44" s="2"/>
      <c r="H44" s="2"/>
    </row>
    <row r="45" spans="7:8" x14ac:dyDescent="0.4">
      <c r="G45" s="2"/>
      <c r="H45" s="2"/>
    </row>
    <row r="46" spans="7:8" x14ac:dyDescent="0.4">
      <c r="G46" s="2"/>
      <c r="H46" s="2"/>
    </row>
    <row r="47" spans="7:8" x14ac:dyDescent="0.4">
      <c r="G47" s="2"/>
      <c r="H47" s="2"/>
    </row>
    <row r="48" spans="7:8" x14ac:dyDescent="0.4">
      <c r="G48" s="2"/>
      <c r="H48" s="2"/>
    </row>
    <row r="49" spans="7:8" x14ac:dyDescent="0.4">
      <c r="G49" s="2"/>
      <c r="H49" s="2"/>
    </row>
    <row r="50" spans="7:8" x14ac:dyDescent="0.4">
      <c r="G50" s="2"/>
      <c r="H50" s="2"/>
    </row>
    <row r="51" spans="7:8" x14ac:dyDescent="0.4">
      <c r="G51" s="2"/>
      <c r="H51" s="2"/>
    </row>
    <row r="52" spans="7:8" x14ac:dyDescent="0.4">
      <c r="G52" s="2"/>
      <c r="H52" s="2"/>
    </row>
    <row r="53" spans="7:8" x14ac:dyDescent="0.4">
      <c r="G53" s="2"/>
      <c r="H53" s="2"/>
    </row>
    <row r="54" spans="7:8" x14ac:dyDescent="0.4">
      <c r="G54" s="2"/>
      <c r="H54" s="2"/>
    </row>
    <row r="55" spans="7:8" x14ac:dyDescent="0.4">
      <c r="G55" s="2"/>
      <c r="H55" s="2"/>
    </row>
    <row r="56" spans="7:8" x14ac:dyDescent="0.4">
      <c r="G56" s="2"/>
      <c r="H56" s="2"/>
    </row>
    <row r="57" spans="7:8" x14ac:dyDescent="0.4">
      <c r="G57" s="2"/>
      <c r="H57" s="2"/>
    </row>
    <row r="58" spans="7:8" x14ac:dyDescent="0.4">
      <c r="G58" s="2"/>
      <c r="H58" s="2"/>
    </row>
    <row r="59" spans="7:8" x14ac:dyDescent="0.4">
      <c r="G59" s="2"/>
      <c r="H59" s="2"/>
    </row>
    <row r="60" spans="7:8" x14ac:dyDescent="0.4">
      <c r="G60" s="2"/>
      <c r="H60" s="2"/>
    </row>
    <row r="61" spans="7:8" x14ac:dyDescent="0.4">
      <c r="G61" s="2"/>
      <c r="H61" s="2"/>
    </row>
    <row r="62" spans="7:8" x14ac:dyDescent="0.4">
      <c r="G62" s="2"/>
      <c r="H62" s="2"/>
    </row>
    <row r="63" spans="7:8" x14ac:dyDescent="0.4">
      <c r="G63" s="2"/>
      <c r="H63" s="2"/>
    </row>
    <row r="64" spans="7:8" x14ac:dyDescent="0.4">
      <c r="G64" s="2"/>
      <c r="H64" s="2"/>
    </row>
    <row r="65" spans="7:8" x14ac:dyDescent="0.4">
      <c r="G65" s="2"/>
      <c r="H65" s="2"/>
    </row>
    <row r="66" spans="7:8" x14ac:dyDescent="0.4">
      <c r="G66" s="2"/>
      <c r="H66" s="2"/>
    </row>
    <row r="67" spans="7:8" x14ac:dyDescent="0.4">
      <c r="G67" s="2"/>
      <c r="H67" s="2"/>
    </row>
    <row r="68" spans="7:8" x14ac:dyDescent="0.4">
      <c r="G68" s="2"/>
      <c r="H68" s="2"/>
    </row>
    <row r="69" spans="7:8" x14ac:dyDescent="0.4">
      <c r="G69" s="2"/>
      <c r="H69" s="2"/>
    </row>
    <row r="70" spans="7:8" x14ac:dyDescent="0.4">
      <c r="G70" s="2"/>
      <c r="H70" s="2"/>
    </row>
    <row r="71" spans="7:8" x14ac:dyDescent="0.4">
      <c r="G71" s="2"/>
      <c r="H71" s="2"/>
    </row>
    <row r="72" spans="7:8" x14ac:dyDescent="0.4">
      <c r="G72" s="2"/>
      <c r="H72" s="2"/>
    </row>
    <row r="73" spans="7:8" x14ac:dyDescent="0.4">
      <c r="G73" s="2"/>
      <c r="H73" s="2"/>
    </row>
    <row r="74" spans="7:8" x14ac:dyDescent="0.4">
      <c r="G74" s="2"/>
      <c r="H74" s="2"/>
    </row>
    <row r="75" spans="7:8" x14ac:dyDescent="0.4">
      <c r="G75" s="2"/>
      <c r="H75" s="2"/>
    </row>
    <row r="76" spans="7:8" x14ac:dyDescent="0.4">
      <c r="G76" s="2"/>
      <c r="H76" s="2"/>
    </row>
    <row r="77" spans="7:8" x14ac:dyDescent="0.4">
      <c r="G77" s="2"/>
      <c r="H77" s="2"/>
    </row>
    <row r="78" spans="7:8" x14ac:dyDescent="0.4">
      <c r="G78" s="2"/>
      <c r="H78" s="2"/>
    </row>
    <row r="79" spans="7:8" x14ac:dyDescent="0.4">
      <c r="G79" s="2"/>
      <c r="H79" s="2"/>
    </row>
    <row r="80" spans="7:8" x14ac:dyDescent="0.4">
      <c r="G80" s="2"/>
      <c r="H80" s="2"/>
    </row>
    <row r="81" spans="7:8" x14ac:dyDescent="0.4">
      <c r="G81" s="2"/>
      <c r="H81" s="2"/>
    </row>
    <row r="82" spans="7:8" x14ac:dyDescent="0.4">
      <c r="G82" s="2"/>
      <c r="H82" s="2"/>
    </row>
    <row r="83" spans="7:8" x14ac:dyDescent="0.4">
      <c r="G83" s="2"/>
      <c r="H83" s="2"/>
    </row>
    <row r="84" spans="7:8" x14ac:dyDescent="0.4">
      <c r="G84" s="2"/>
      <c r="H84" s="2"/>
    </row>
    <row r="85" spans="7:8" x14ac:dyDescent="0.4">
      <c r="G85" s="2"/>
      <c r="H85" s="2"/>
    </row>
    <row r="86" spans="7:8" x14ac:dyDescent="0.4">
      <c r="G86" s="2"/>
      <c r="H86" s="2"/>
    </row>
    <row r="87" spans="7:8" x14ac:dyDescent="0.4">
      <c r="G87" s="2"/>
      <c r="H87" s="2"/>
    </row>
    <row r="88" spans="7:8" x14ac:dyDescent="0.4">
      <c r="G88" s="2"/>
      <c r="H88" s="2"/>
    </row>
    <row r="89" spans="7:8" x14ac:dyDescent="0.4">
      <c r="G89" s="2"/>
      <c r="H89" s="2"/>
    </row>
    <row r="90" spans="7:8" x14ac:dyDescent="0.4">
      <c r="G90" s="2"/>
      <c r="H90" s="2"/>
    </row>
    <row r="91" spans="7:8" x14ac:dyDescent="0.4">
      <c r="G91" s="2"/>
      <c r="H91" s="2"/>
    </row>
    <row r="92" spans="7:8" x14ac:dyDescent="0.4">
      <c r="G92" s="2"/>
      <c r="H92" s="2"/>
    </row>
    <row r="93" spans="7:8" x14ac:dyDescent="0.4">
      <c r="G93" s="2"/>
      <c r="H93" s="2"/>
    </row>
    <row r="94" spans="7:8" x14ac:dyDescent="0.4">
      <c r="G94" s="2"/>
      <c r="H94" s="2"/>
    </row>
    <row r="95" spans="7:8" x14ac:dyDescent="0.4">
      <c r="G95" s="2"/>
      <c r="H95" s="2"/>
    </row>
    <row r="96" spans="7:8" x14ac:dyDescent="0.4">
      <c r="G96" s="2"/>
      <c r="H96" s="2"/>
    </row>
    <row r="97" spans="7:8" x14ac:dyDescent="0.4">
      <c r="G97" s="2"/>
      <c r="H97" s="2"/>
    </row>
    <row r="98" spans="7:8" x14ac:dyDescent="0.4">
      <c r="G98" s="2"/>
      <c r="H98" s="2"/>
    </row>
    <row r="99" spans="7:8" x14ac:dyDescent="0.4">
      <c r="G99" s="2"/>
      <c r="H99" s="2"/>
    </row>
    <row r="100" spans="7:8" x14ac:dyDescent="0.4">
      <c r="G100" s="2"/>
      <c r="H100" s="2"/>
    </row>
    <row r="101" spans="7:8" x14ac:dyDescent="0.4">
      <c r="G101" s="2"/>
      <c r="H101" s="2"/>
    </row>
    <row r="102" spans="7:8" x14ac:dyDescent="0.4">
      <c r="G102" s="2"/>
      <c r="H102" s="2"/>
    </row>
    <row r="103" spans="7:8" x14ac:dyDescent="0.4">
      <c r="G103" s="2"/>
      <c r="H103" s="2"/>
    </row>
    <row r="104" spans="7:8" x14ac:dyDescent="0.4">
      <c r="G104" s="2"/>
      <c r="H104" s="2"/>
    </row>
    <row r="105" spans="7:8" x14ac:dyDescent="0.4">
      <c r="G105" s="2"/>
      <c r="H105" s="2"/>
    </row>
    <row r="106" spans="7:8" x14ac:dyDescent="0.4">
      <c r="G106" s="2"/>
      <c r="H106" s="2"/>
    </row>
    <row r="107" spans="7:8" x14ac:dyDescent="0.4">
      <c r="G107" s="2"/>
      <c r="H107" s="2"/>
    </row>
    <row r="108" spans="7:8" x14ac:dyDescent="0.4">
      <c r="G108" s="2"/>
      <c r="H108" s="2"/>
    </row>
    <row r="109" spans="7:8" x14ac:dyDescent="0.4">
      <c r="G109" s="2"/>
      <c r="H109" s="2"/>
    </row>
    <row r="110" spans="7:8" x14ac:dyDescent="0.4">
      <c r="G110" s="2"/>
      <c r="H110" s="2"/>
    </row>
    <row r="111" spans="7:8" x14ac:dyDescent="0.4">
      <c r="G111" s="2"/>
      <c r="H111" s="2"/>
    </row>
    <row r="112" spans="7:8" x14ac:dyDescent="0.4">
      <c r="G112" s="2"/>
      <c r="H112" s="2"/>
    </row>
    <row r="113" spans="7:8" x14ac:dyDescent="0.4">
      <c r="G113" s="2"/>
      <c r="H113" s="2"/>
    </row>
    <row r="114" spans="7:8" x14ac:dyDescent="0.4">
      <c r="G114" s="2"/>
      <c r="H114" s="2"/>
    </row>
    <row r="115" spans="7:8" x14ac:dyDescent="0.4">
      <c r="G115" s="2"/>
      <c r="H115" s="2"/>
    </row>
    <row r="116" spans="7:8" x14ac:dyDescent="0.4">
      <c r="G116" s="2"/>
      <c r="H116" s="2"/>
    </row>
    <row r="117" spans="7:8" x14ac:dyDescent="0.4">
      <c r="G117" s="2"/>
      <c r="H117" s="2"/>
    </row>
    <row r="118" spans="7:8" x14ac:dyDescent="0.4">
      <c r="G118" s="2"/>
      <c r="H118" s="2"/>
    </row>
    <row r="119" spans="7:8" x14ac:dyDescent="0.4">
      <c r="G119" s="2"/>
      <c r="H119" s="2"/>
    </row>
    <row r="120" spans="7:8" x14ac:dyDescent="0.4">
      <c r="G120" s="2"/>
      <c r="H120" s="2"/>
    </row>
    <row r="121" spans="7:8" x14ac:dyDescent="0.4">
      <c r="G121" s="2"/>
      <c r="H121" s="2"/>
    </row>
    <row r="122" spans="7:8" x14ac:dyDescent="0.4">
      <c r="G122" s="2"/>
      <c r="H122" s="2"/>
    </row>
    <row r="123" spans="7:8" x14ac:dyDescent="0.4">
      <c r="G123" s="2"/>
      <c r="H123" s="2"/>
    </row>
    <row r="124" spans="7:8" x14ac:dyDescent="0.4">
      <c r="G124" s="2"/>
      <c r="H124" s="2"/>
    </row>
    <row r="125" spans="7:8" x14ac:dyDescent="0.4">
      <c r="G125" s="2"/>
      <c r="H125" s="2"/>
    </row>
    <row r="126" spans="7:8" x14ac:dyDescent="0.4">
      <c r="G126" s="2"/>
      <c r="H126" s="2"/>
    </row>
    <row r="127" spans="7:8" x14ac:dyDescent="0.4">
      <c r="G127" s="2"/>
      <c r="H127" s="2"/>
    </row>
    <row r="128" spans="7:8" x14ac:dyDescent="0.4">
      <c r="G128" s="2"/>
      <c r="H128" s="2"/>
    </row>
    <row r="129" spans="7:8" x14ac:dyDescent="0.4">
      <c r="G129" s="2"/>
      <c r="H129" s="2"/>
    </row>
    <row r="130" spans="7:8" x14ac:dyDescent="0.4">
      <c r="G130" s="2"/>
      <c r="H130" s="2"/>
    </row>
    <row r="131" spans="7:8" x14ac:dyDescent="0.4">
      <c r="G131" s="2"/>
      <c r="H131" s="2"/>
    </row>
    <row r="132" spans="7:8" x14ac:dyDescent="0.4">
      <c r="G132" s="2"/>
      <c r="H132" s="2"/>
    </row>
    <row r="133" spans="7:8" x14ac:dyDescent="0.4">
      <c r="G133" s="2"/>
      <c r="H133" s="2"/>
    </row>
    <row r="134" spans="7:8" x14ac:dyDescent="0.4">
      <c r="G134" s="2"/>
      <c r="H134" s="2"/>
    </row>
    <row r="135" spans="7:8" x14ac:dyDescent="0.4">
      <c r="G135" s="2"/>
      <c r="H135" s="2"/>
    </row>
    <row r="136" spans="7:8" x14ac:dyDescent="0.4">
      <c r="G136" s="2"/>
      <c r="H136" s="2"/>
    </row>
    <row r="137" spans="7:8" x14ac:dyDescent="0.4">
      <c r="G137" s="2"/>
      <c r="H137" s="2"/>
    </row>
    <row r="138" spans="7:8" x14ac:dyDescent="0.4">
      <c r="G138" s="2"/>
      <c r="H138" s="2"/>
    </row>
    <row r="139" spans="7:8" x14ac:dyDescent="0.4">
      <c r="G139" s="2"/>
      <c r="H139" s="2"/>
    </row>
    <row r="140" spans="7:8" x14ac:dyDescent="0.4">
      <c r="G140" s="2"/>
      <c r="H140" s="2"/>
    </row>
    <row r="141" spans="7:8" x14ac:dyDescent="0.4">
      <c r="G141" s="2"/>
      <c r="H141" s="2"/>
    </row>
    <row r="142" spans="7:8" x14ac:dyDescent="0.4">
      <c r="G142" s="2"/>
      <c r="H142" s="2"/>
    </row>
    <row r="143" spans="7:8" x14ac:dyDescent="0.4">
      <c r="G143" s="2"/>
      <c r="H143" s="2"/>
    </row>
    <row r="144" spans="7:8" x14ac:dyDescent="0.4">
      <c r="G144" s="2"/>
      <c r="H144" s="2"/>
    </row>
  </sheetData>
  <phoneticPr fontId="1"/>
  <conditionalFormatting sqref="I2:I20">
    <cfRule type="duplicateValues" dxfId="2" priority="3"/>
  </conditionalFormatting>
  <conditionalFormatting sqref="B2:B20">
    <cfRule type="expression" dxfId="1" priority="2">
      <formula>ISNA($C2)</formula>
    </cfRule>
  </conditionalFormatting>
  <conditionalFormatting sqref="D2:D20">
    <cfRule type="expression" dxfId="0" priority="1">
      <formula>ISNA($E2)</formula>
    </cfRule>
  </conditionalFormatting>
  <pageMargins left="0.7" right="0.7" top="0.75" bottom="0.75" header="0.3" footer="0.3"/>
  <pageSetup paperSize="11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12</xdr:col>
                <xdr:colOff>381000</xdr:colOff>
                <xdr:row>0</xdr:row>
                <xdr:rowOff>85725</xdr:rowOff>
              </from>
              <to>
                <xdr:col>15</xdr:col>
                <xdr:colOff>390525</xdr:colOff>
                <xdr:row>14</xdr:row>
                <xdr:rowOff>295275</xdr:rowOff>
              </to>
            </anchor>
          </controlPr>
        </control>
      </mc:Choice>
      <mc:Fallback>
        <control shapeId="2049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情報シート!$A$2:$A$10</xm:f>
          </x14:formula1>
          <xm:sqref>B2:B50</xm:sqref>
        </x14:dataValidation>
        <x14:dataValidation type="list" allowBlank="1" showInputMessage="1" showErrorMessage="1">
          <x14:formula1>
            <xm:f>情報シート!$D$2:$D$10</xm:f>
          </x14:formula1>
          <xm:sqref>D2:D50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7"/>
  <sheetViews>
    <sheetView workbookViewId="0">
      <selection activeCell="F7" sqref="F7"/>
    </sheetView>
  </sheetViews>
  <sheetFormatPr defaultRowHeight="18.75" x14ac:dyDescent="0.4"/>
  <cols>
    <col min="2" max="2" width="13.375" bestFit="1" customWidth="1"/>
    <col min="3" max="3" width="3.25" customWidth="1"/>
    <col min="4" max="4" width="11" bestFit="1" customWidth="1"/>
    <col min="5" max="5" width="11.25" bestFit="1" customWidth="1"/>
  </cols>
  <sheetData>
    <row r="1" spans="1:5" x14ac:dyDescent="0.4">
      <c r="A1" t="s">
        <v>7</v>
      </c>
      <c r="B1" t="s">
        <v>9</v>
      </c>
      <c r="D1" t="s">
        <v>8</v>
      </c>
      <c r="E1" t="s">
        <v>9</v>
      </c>
    </row>
    <row r="2" spans="1:5" x14ac:dyDescent="0.4">
      <c r="A2" t="s">
        <v>10</v>
      </c>
      <c r="B2" t="s">
        <v>13</v>
      </c>
      <c r="D2" t="s">
        <v>17</v>
      </c>
      <c r="E2" t="s">
        <v>25</v>
      </c>
    </row>
    <row r="3" spans="1:5" x14ac:dyDescent="0.4">
      <c r="A3" t="s">
        <v>11</v>
      </c>
      <c r="B3" t="s">
        <v>14</v>
      </c>
      <c r="D3" t="s">
        <v>18</v>
      </c>
      <c r="E3" t="s">
        <v>26</v>
      </c>
    </row>
    <row r="4" spans="1:5" x14ac:dyDescent="0.4">
      <c r="A4" t="s">
        <v>12</v>
      </c>
      <c r="B4" t="s">
        <v>15</v>
      </c>
      <c r="D4" t="s">
        <v>20</v>
      </c>
      <c r="E4" t="s">
        <v>27</v>
      </c>
    </row>
    <row r="5" spans="1:5" x14ac:dyDescent="0.4">
      <c r="D5" t="s">
        <v>21</v>
      </c>
      <c r="E5" t="s">
        <v>24</v>
      </c>
    </row>
    <row r="6" spans="1:5" x14ac:dyDescent="0.4">
      <c r="D6" t="s">
        <v>22</v>
      </c>
      <c r="E6" t="s">
        <v>23</v>
      </c>
    </row>
    <row r="7" spans="1:5" x14ac:dyDescent="0.4">
      <c r="D7" t="s">
        <v>79</v>
      </c>
      <c r="E7" t="s">
        <v>24</v>
      </c>
    </row>
  </sheetData>
  <phoneticPr fontId="1"/>
  <pageMargins left="0.7" right="0.7" top="0.75" bottom="0.75" header="0.3" footer="0.3"/>
  <pageSetup paperSize="11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差し込み用シート</vt:lpstr>
      <vt:lpstr>全体シート</vt:lpstr>
      <vt:lpstr>情報シート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多田有希</dc:creator>
  <cp:lastModifiedBy>多田有希</cp:lastModifiedBy>
  <cp:lastPrinted>2016-09-06T11:43:05Z</cp:lastPrinted>
  <dcterms:created xsi:type="dcterms:W3CDTF">2016-04-28T14:43:40Z</dcterms:created>
  <dcterms:modified xsi:type="dcterms:W3CDTF">2016-12-04T10:55:10Z</dcterms:modified>
</cp:coreProperties>
</file>